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6BD4478B-8E43-46A3-8E44-5E78474117E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xample - Project Plan Template" sheetId="1" r:id="rId1"/>
  </sheets>
  <definedNames>
    <definedName name="_xlnm.Print_Area" localSheetId="0">'Example - Project Plan Template'!$B$1:$I$56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4" i="1" l="1"/>
  <c r="H23" i="1"/>
  <c r="H12" i="1"/>
  <c r="H8" i="1"/>
  <c r="H5" i="1"/>
</calcChain>
</file>

<file path=xl/sharedStrings.xml><?xml version="1.0" encoding="utf-8"?>
<sst xmlns="http://schemas.openxmlformats.org/spreadsheetml/2006/main" count="127" uniqueCount="64">
  <si>
    <t>3.3.1</t>
  </si>
  <si>
    <t>WBS No.</t>
  </si>
  <si>
    <t>Nombre del Proyecto</t>
  </si>
  <si>
    <t>Nombre de la tarea</t>
  </si>
  <si>
    <t>Estado</t>
  </si>
  <si>
    <t>Asignado a</t>
  </si>
  <si>
    <t>Fecha  inicio</t>
  </si>
  <si>
    <t>Fecha fin</t>
  </si>
  <si>
    <t>Comentarios</t>
  </si>
  <si>
    <t>Título del Proyecto</t>
  </si>
  <si>
    <t>Gerente del Proyecto</t>
  </si>
  <si>
    <t>Fecha inicio</t>
  </si>
  <si>
    <t>Fecha Fin</t>
  </si>
  <si>
    <t>Duracion del proyecto</t>
  </si>
  <si>
    <t>Completo</t>
  </si>
  <si>
    <t>En progreso</t>
  </si>
  <si>
    <t>No Iniciado</t>
  </si>
  <si>
    <t>En Espera</t>
  </si>
  <si>
    <t>BikeTracker</t>
  </si>
  <si>
    <t>Daniel Esteban Mora Rodriguez</t>
  </si>
  <si>
    <t>Inicio y Definicion estrategica</t>
  </si>
  <si>
    <t>Definicion de la vision del producto</t>
  </si>
  <si>
    <t>Duración (horas)</t>
  </si>
  <si>
    <t>Definicion de Objetivos</t>
  </si>
  <si>
    <t>1.2</t>
  </si>
  <si>
    <t xml:space="preserve">Identificacion de StakeHolders </t>
  </si>
  <si>
    <t>Levantamiento de Requisitos</t>
  </si>
  <si>
    <t>Diseño de UX</t>
  </si>
  <si>
    <t>Prototipado Figma-Wireframes</t>
  </si>
  <si>
    <t>Diseño Arquitectura del sistema</t>
  </si>
  <si>
    <t>Diseño del modelo de Datos</t>
  </si>
  <si>
    <t>Creacion del Repositorio y configuracion Git</t>
  </si>
  <si>
    <t xml:space="preserve">Gerente </t>
  </si>
  <si>
    <t>Gerente /Usuario</t>
  </si>
  <si>
    <t>Desarrollador</t>
  </si>
  <si>
    <t>Desarrolador</t>
  </si>
  <si>
    <t xml:space="preserve">Desarrollador </t>
  </si>
  <si>
    <t>Configuracion del entorno de desarrollo</t>
  </si>
  <si>
    <t>Creacion Base de Datos</t>
  </si>
  <si>
    <t>Implementacion de tablas y Relaciones</t>
  </si>
  <si>
    <t>Configuracion Backend conexión BD</t>
  </si>
  <si>
    <t>Desarrollo de API (usuarios)</t>
  </si>
  <si>
    <t>Desarrollo de API (Motocicletas)</t>
  </si>
  <si>
    <t>Desarrollo de Api(Kilometraje y alertas)</t>
  </si>
  <si>
    <t>Desarrollo API (Mantenimientos)</t>
  </si>
  <si>
    <t>Configuracion base Fronted</t>
  </si>
  <si>
    <t>Desarrollo Interfaz (Autenticacion)</t>
  </si>
  <si>
    <t>Desarrollo Interfaz (Gestion  de motocicletas)</t>
  </si>
  <si>
    <t>Desarrollo Interfaz (gestion Mantenimiento)</t>
  </si>
  <si>
    <t>implementacion de logica visual y validaciones</t>
  </si>
  <si>
    <t>Implementacion completa Backend -Fronted</t>
  </si>
  <si>
    <t>Fase de Análisis y preparacion</t>
  </si>
  <si>
    <t>fase de desarrollo e implementacion</t>
  </si>
  <si>
    <t>Fase de pruegas y despliege</t>
  </si>
  <si>
    <t xml:space="preserve">Pruebas unitarias Backend </t>
  </si>
  <si>
    <t>Pruebas Unitarias Fronted</t>
  </si>
  <si>
    <t xml:space="preserve">Pruebas de Integracion </t>
  </si>
  <si>
    <t>Pruebas Funcionales con el Usuario</t>
  </si>
  <si>
    <t>Correxion de errores y ajustes finales</t>
  </si>
  <si>
    <t>documentacion tecnica del sistema</t>
  </si>
  <si>
    <t>Despliege</t>
  </si>
  <si>
    <t>Gerente</t>
  </si>
  <si>
    <t>Desarrollador/Gerente</t>
  </si>
  <si>
    <t>en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</si>
</sst>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theme="0"/>
      <name val="Century Gothic"/>
      <family val="1"/>
    </font>
    <font>
      <sz val="12"/>
      <color theme="0"/>
      <name val="Century Gothic"/>
      <family val="1"/>
    </font>
    <font>
      <sz val="12"/>
      <color rgb="FF000000"/>
      <name val="Century Gothic"/>
      <family val="1"/>
    </font>
    <font>
      <sz val="12"/>
      <color theme="1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b/>
      <sz val="28"/>
      <color rgb="FF001033"/>
      <name val="Century Gothic"/>
      <family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79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2"/>
    </xf>
    <xf numFmtId="0" fontId="8" fillId="0" borderId="1" xfId="0" applyFont="1" applyBorder="1" applyAlignment="1">
      <alignment horizontal="left" vertical="center" wrapText="1" indent="3"/>
    </xf>
    <xf numFmtId="0" fontId="8" fillId="0" borderId="2" xfId="0" applyFont="1" applyBorder="1" applyAlignment="1">
      <alignment horizontal="left" vertical="center" wrapText="1" indent="2"/>
    </xf>
    <xf numFmtId="0" fontId="4" fillId="2" borderId="2" xfId="0" applyFont="1" applyFill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3"/>
    </xf>
    <xf numFmtId="164" fontId="4" fillId="2" borderId="2" xfId="0" applyNumberFormat="1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 indent="1"/>
    </xf>
    <xf numFmtId="0" fontId="10" fillId="7" borderId="3" xfId="0" applyFont="1" applyFill="1" applyBorder="1" applyAlignment="1">
      <alignment horizontal="left" vertical="center" wrapText="1" indent="1"/>
    </xf>
    <xf numFmtId="0" fontId="4" fillId="8" borderId="3" xfId="0" applyFont="1" applyFill="1" applyBorder="1" applyAlignment="1">
      <alignment horizontal="left" vertical="center" wrapText="1" indent="1"/>
    </xf>
    <xf numFmtId="0" fontId="10" fillId="9" borderId="3" xfId="0" applyFont="1" applyFill="1" applyBorder="1" applyAlignment="1">
      <alignment horizontal="left" vertical="center" wrapText="1" indent="1"/>
    </xf>
    <xf numFmtId="0" fontId="11" fillId="7" borderId="3" xfId="0" applyFont="1" applyFill="1" applyBorder="1" applyAlignment="1">
      <alignment horizontal="left" vertical="center" wrapText="1" indent="1"/>
    </xf>
    <xf numFmtId="0" fontId="11" fillId="8" borderId="3" xfId="0" applyFont="1" applyFill="1" applyBorder="1" applyAlignment="1">
      <alignment horizontal="left" vertical="center" wrapText="1" indent="1"/>
    </xf>
    <xf numFmtId="0" fontId="11" fillId="9" borderId="3" xfId="0" applyFont="1" applyFill="1" applyBorder="1" applyAlignment="1">
      <alignment horizontal="left" vertical="center" wrapText="1" indent="1"/>
    </xf>
    <xf numFmtId="0" fontId="11" fillId="7" borderId="3" xfId="0" applyFont="1" applyFill="1" applyBorder="1" applyAlignment="1">
      <alignment horizontal="left" vertical="center" wrapText="1" indent="1" readingOrder="1"/>
    </xf>
    <xf numFmtId="164" fontId="11" fillId="7" borderId="3" xfId="0" applyNumberFormat="1" applyFont="1" applyFill="1" applyBorder="1" applyAlignment="1">
      <alignment horizontal="left" vertical="center" wrapText="1" indent="1"/>
    </xf>
    <xf numFmtId="165" fontId="11" fillId="7" borderId="3" xfId="0" applyNumberFormat="1" applyFont="1" applyFill="1" applyBorder="1" applyAlignment="1">
      <alignment horizontal="left" vertical="center" wrapText="1" indent="1" readingOrder="1"/>
    </xf>
    <xf numFmtId="165" fontId="11" fillId="7" borderId="3" xfId="0" applyNumberFormat="1" applyFont="1" applyFill="1" applyBorder="1" applyAlignment="1">
      <alignment horizontal="left" vertical="center" wrapText="1" indent="1"/>
    </xf>
    <xf numFmtId="1" fontId="11" fillId="7" borderId="3" xfId="0" applyNumberFormat="1" applyFont="1" applyFill="1" applyBorder="1" applyAlignment="1">
      <alignment horizontal="left" vertical="center" wrapText="1" indent="1"/>
    </xf>
    <xf numFmtId="0" fontId="12" fillId="8" borderId="3" xfId="0" applyFont="1" applyFill="1" applyBorder="1" applyAlignment="1">
      <alignment horizontal="left" vertical="center" wrapText="1" indent="1" readingOrder="1"/>
    </xf>
    <xf numFmtId="164" fontId="13" fillId="8" borderId="3" xfId="0" applyNumberFormat="1" applyFont="1" applyFill="1" applyBorder="1" applyAlignment="1">
      <alignment horizontal="left" vertical="center" wrapText="1" indent="1"/>
    </xf>
    <xf numFmtId="165" fontId="11" fillId="8" borderId="3" xfId="0" applyNumberFormat="1" applyFont="1" applyFill="1" applyBorder="1" applyAlignment="1">
      <alignment horizontal="left" vertical="center" wrapText="1" indent="1" readingOrder="1"/>
    </xf>
    <xf numFmtId="165" fontId="11" fillId="8" borderId="3" xfId="0" applyNumberFormat="1" applyFont="1" applyFill="1" applyBorder="1" applyAlignment="1">
      <alignment horizontal="left" vertical="center" wrapText="1" indent="1"/>
    </xf>
    <xf numFmtId="1" fontId="11" fillId="8" borderId="3" xfId="0" applyNumberFormat="1" applyFont="1" applyFill="1" applyBorder="1" applyAlignment="1">
      <alignment horizontal="left" vertical="center" wrapText="1" indent="1"/>
    </xf>
    <xf numFmtId="0" fontId="11" fillId="9" borderId="3" xfId="0" applyFont="1" applyFill="1" applyBorder="1" applyAlignment="1">
      <alignment horizontal="left" vertical="center" wrapText="1" indent="1" readingOrder="1"/>
    </xf>
    <xf numFmtId="164" fontId="11" fillId="9" borderId="3" xfId="0" applyNumberFormat="1" applyFont="1" applyFill="1" applyBorder="1" applyAlignment="1">
      <alignment horizontal="left" vertical="center" wrapText="1" indent="1"/>
    </xf>
    <xf numFmtId="165" fontId="11" fillId="9" borderId="3" xfId="0" applyNumberFormat="1" applyFont="1" applyFill="1" applyBorder="1" applyAlignment="1">
      <alignment horizontal="left" vertical="center" wrapText="1" indent="1" readingOrder="1"/>
    </xf>
    <xf numFmtId="165" fontId="11" fillId="9" borderId="3" xfId="0" applyNumberFormat="1" applyFont="1" applyFill="1" applyBorder="1" applyAlignment="1">
      <alignment horizontal="left" vertical="center" wrapText="1" indent="1"/>
    </xf>
    <xf numFmtId="1" fontId="11" fillId="9" borderId="3" xfId="0" applyNumberFormat="1" applyFont="1" applyFill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wrapText="1"/>
    </xf>
    <xf numFmtId="0" fontId="11" fillId="6" borderId="3" xfId="0" applyFont="1" applyFill="1" applyBorder="1" applyAlignment="1">
      <alignment horizontal="left" vertical="center" wrapText="1" indent="1"/>
    </xf>
    <xf numFmtId="0" fontId="14" fillId="4" borderId="6" xfId="0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left" vertical="center" wrapText="1" indent="1"/>
    </xf>
    <xf numFmtId="165" fontId="11" fillId="6" borderId="3" xfId="0" applyNumberFormat="1" applyFont="1" applyFill="1" applyBorder="1" applyAlignment="1">
      <alignment horizontal="left" vertical="center" wrapText="1" indent="1"/>
    </xf>
    <xf numFmtId="0" fontId="14" fillId="10" borderId="6" xfId="0" applyFont="1" applyFill="1" applyBorder="1" applyAlignment="1">
      <alignment horizontal="left" vertical="center" wrapText="1" indent="1"/>
    </xf>
    <xf numFmtId="0" fontId="14" fillId="10" borderId="4" xfId="0" applyFont="1" applyFill="1" applyBorder="1" applyAlignment="1">
      <alignment horizontal="left" vertical="center" wrapText="1" indent="1"/>
    </xf>
    <xf numFmtId="165" fontId="11" fillId="6" borderId="7" xfId="0" applyNumberFormat="1" applyFont="1" applyFill="1" applyBorder="1" applyAlignment="1">
      <alignment horizontal="left" vertical="center" wrapText="1" indent="1"/>
    </xf>
    <xf numFmtId="1" fontId="11" fillId="6" borderId="3" xfId="0" applyNumberFormat="1" applyFont="1" applyFill="1" applyBorder="1" applyAlignment="1">
      <alignment horizontal="left" vertical="center" wrapText="1" indent="1"/>
    </xf>
    <xf numFmtId="0" fontId="10" fillId="6" borderId="3" xfId="0" applyFont="1" applyFill="1" applyBorder="1" applyAlignment="1">
      <alignment horizontal="left" vertical="center" wrapText="1" indent="1"/>
    </xf>
    <xf numFmtId="165" fontId="5" fillId="0" borderId="1" xfId="0" applyNumberFormat="1" applyFont="1" applyBorder="1" applyAlignment="1">
      <alignment horizontal="left" vertical="center" wrapText="1" indent="1" readingOrder="1"/>
    </xf>
    <xf numFmtId="165" fontId="4" fillId="0" borderId="1" xfId="0" applyNumberFormat="1" applyFont="1" applyBorder="1" applyAlignment="1">
      <alignment horizontal="left" vertical="center" wrapText="1" indent="1"/>
    </xf>
    <xf numFmtId="165" fontId="5" fillId="0" borderId="2" xfId="0" applyNumberFormat="1" applyFont="1" applyBorder="1" applyAlignment="1">
      <alignment horizontal="left" vertical="center" wrapText="1" indent="1" readingOrder="1"/>
    </xf>
    <xf numFmtId="165" fontId="4" fillId="0" borderId="2" xfId="0" applyNumberFormat="1" applyFont="1" applyBorder="1" applyAlignment="1">
      <alignment horizontal="left" vertical="center" wrapText="1" indent="1"/>
    </xf>
    <xf numFmtId="1" fontId="4" fillId="11" borderId="1" xfId="0" applyNumberFormat="1" applyFont="1" applyFill="1" applyBorder="1" applyAlignment="1">
      <alignment horizontal="left" vertical="center" wrapText="1" indent="1"/>
    </xf>
    <xf numFmtId="1" fontId="4" fillId="12" borderId="1" xfId="0" applyNumberFormat="1" applyFont="1" applyFill="1" applyBorder="1" applyAlignment="1">
      <alignment horizontal="left" vertical="center" wrapText="1" indent="1"/>
    </xf>
    <xf numFmtId="1" fontId="4" fillId="12" borderId="2" xfId="0" applyNumberFormat="1" applyFont="1" applyFill="1" applyBorder="1" applyAlignment="1">
      <alignment horizontal="left" vertical="center" wrapText="1" indent="1"/>
    </xf>
    <xf numFmtId="1" fontId="4" fillId="13" borderId="2" xfId="0" applyNumberFormat="1" applyFont="1" applyFill="1" applyBorder="1" applyAlignment="1">
      <alignment horizontal="left" vertical="center" wrapText="1" indent="1"/>
    </xf>
    <xf numFmtId="1" fontId="4" fillId="3" borderId="1" xfId="0" applyNumberFormat="1" applyFont="1" applyFill="1" applyBorder="1" applyAlignment="1">
      <alignment horizontal="left" vertical="center" wrapText="1" indent="1"/>
    </xf>
    <xf numFmtId="1" fontId="4" fillId="3" borderId="2" xfId="0" applyNumberFormat="1" applyFont="1" applyFill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165" fontId="4" fillId="0" borderId="4" xfId="0" applyNumberFormat="1" applyFont="1" applyBorder="1" applyAlignment="1">
      <alignment horizontal="left" vertical="center" wrapText="1" indent="1"/>
    </xf>
    <xf numFmtId="1" fontId="4" fillId="11" borderId="8" xfId="0" applyNumberFormat="1" applyFont="1" applyFill="1" applyBorder="1" applyAlignment="1">
      <alignment horizontal="left" vertical="center" wrapText="1" indent="1"/>
    </xf>
    <xf numFmtId="0" fontId="16" fillId="2" borderId="0" xfId="0" applyFont="1" applyFill="1" applyAlignment="1">
      <alignment vertical="center"/>
    </xf>
    <xf numFmtId="0" fontId="5" fillId="14" borderId="1" xfId="0" applyFont="1" applyFill="1" applyBorder="1" applyAlignment="1">
      <alignment horizontal="left" vertical="center" wrapText="1" indent="1" readingOrder="1"/>
    </xf>
    <xf numFmtId="0" fontId="4" fillId="5" borderId="3" xfId="0" applyFont="1" applyFill="1" applyBorder="1" applyAlignment="1">
      <alignment horizontal="left" vertical="center" wrapText="1" indent="1"/>
    </xf>
    <xf numFmtId="0" fontId="15" fillId="4" borderId="6" xfId="0" applyFont="1" applyFill="1" applyBorder="1" applyAlignment="1">
      <alignment horizontal="left" vertical="center" wrapText="1" indent="1"/>
    </xf>
    <xf numFmtId="0" fontId="11" fillId="6" borderId="0" xfId="0" applyFont="1" applyFill="1" applyAlignment="1">
      <alignment horizontal="left" vertical="center" indent="1"/>
    </xf>
    <xf numFmtId="0" fontId="5" fillId="15" borderId="1" xfId="0" applyFont="1" applyFill="1" applyBorder="1" applyAlignment="1">
      <alignment horizontal="left" vertical="center" wrapText="1" indent="1" readingOrder="1"/>
    </xf>
    <xf numFmtId="0" fontId="4" fillId="16" borderId="1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2"/>
    </xf>
    <xf numFmtId="164" fontId="4" fillId="2" borderId="4" xfId="0" applyNumberFormat="1" applyFont="1" applyFill="1" applyBorder="1" applyAlignment="1">
      <alignment horizontal="left" vertical="center" wrapText="1" indent="1"/>
    </xf>
    <xf numFmtId="165" fontId="5" fillId="0" borderId="4" xfId="0" applyNumberFormat="1" applyFont="1" applyBorder="1" applyAlignment="1">
      <alignment horizontal="left" vertical="center" wrapText="1" indent="1" readingOrder="1"/>
    </xf>
    <xf numFmtId="1" fontId="4" fillId="3" borderId="4" xfId="0" applyNumberFormat="1" applyFont="1" applyFill="1" applyBorder="1" applyAlignment="1">
      <alignment horizontal="left" vertical="center" wrapText="1" indent="1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28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colors>
    <mruColors>
      <color rgb="FF001033"/>
      <color rgb="FF007134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1100"/>
  <sheetViews>
    <sheetView showGridLines="0" tabSelected="1" zoomScaleNormal="100" workbookViewId="0">
      <pane ySplit="1" topLeftCell="A7" activePane="bottomLeft" state="frozen"/>
      <selection pane="bottomLeft" activeCell="G31" sqref="G31"/>
    </sheetView>
  </sheetViews>
  <sheetFormatPr baseColWidth="10" defaultColWidth="11" defaultRowHeight="12.75" outlineLevelRow="1" x14ac:dyDescent="0.25"/>
  <cols>
    <col min="1" max="1" width="3.375" style="5" customWidth="1"/>
    <col min="2" max="2" width="7.875" style="5" customWidth="1"/>
    <col min="3" max="3" width="57" style="5" bestFit="1" customWidth="1"/>
    <col min="4" max="4" width="12.875" style="5" customWidth="1"/>
    <col min="5" max="5" width="20.875" style="5" customWidth="1"/>
    <col min="6" max="7" width="8.875" style="5" customWidth="1"/>
    <col min="8" max="8" width="11.875" style="5" customWidth="1"/>
    <col min="9" max="9" width="50.875" style="5" customWidth="1"/>
    <col min="10" max="10" width="3.375" style="5" customWidth="1"/>
    <col min="11" max="11" width="12.875" style="5" customWidth="1"/>
    <col min="12" max="17" width="11" style="5"/>
    <col min="18" max="18" width="9" style="5" customWidth="1"/>
    <col min="19" max="16384" width="11" style="5"/>
  </cols>
  <sheetData>
    <row r="1" spans="1:258" ht="57" customHeight="1" x14ac:dyDescent="0.25">
      <c r="A1" s="1"/>
      <c r="B1" s="67" t="s">
        <v>2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19" customFormat="1" ht="18" customHeight="1" x14ac:dyDescent="0.25">
      <c r="A2" s="18"/>
      <c r="B2" s="18"/>
      <c r="C2" s="18" t="s">
        <v>9</v>
      </c>
      <c r="D2" s="18"/>
      <c r="E2" s="18" t="s">
        <v>11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</row>
    <row r="3" spans="1:258" ht="30" customHeight="1" thickBot="1" x14ac:dyDescent="0.25">
      <c r="A3" s="1"/>
      <c r="B3" s="1"/>
      <c r="C3" s="42" t="s">
        <v>18</v>
      </c>
      <c r="D3" s="1"/>
      <c r="E3" s="65">
        <v>46060</v>
      </c>
      <c r="F3" s="1"/>
      <c r="G3" s="1"/>
      <c r="H3" s="1" t="s">
        <v>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19" customFormat="1" ht="18" customHeight="1" thickBot="1" x14ac:dyDescent="0.3">
      <c r="A4" s="18"/>
      <c r="B4" s="18"/>
      <c r="C4" s="43" t="s">
        <v>10</v>
      </c>
      <c r="D4" s="18"/>
      <c r="E4" s="43" t="s">
        <v>12</v>
      </c>
      <c r="F4" s="18"/>
      <c r="G4" s="18"/>
      <c r="H4" s="18" t="s">
        <v>63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</row>
    <row r="5" spans="1:258" ht="30" customHeight="1" thickBot="1" x14ac:dyDescent="0.25">
      <c r="A5" s="1"/>
      <c r="B5" s="1"/>
      <c r="C5" s="64" t="s">
        <v>19</v>
      </c>
      <c r="D5" s="1"/>
      <c r="E5" s="65">
        <v>46203</v>
      </c>
      <c r="F5" s="1"/>
      <c r="G5" s="1"/>
      <c r="H5" s="66">
        <f>IF(E3=0,0,E5-E3)*24</f>
        <v>3432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2">
      <c r="A6" s="1"/>
      <c r="B6" s="1"/>
      <c r="C6" s="1"/>
      <c r="D6" s="1"/>
      <c r="E6" s="44"/>
      <c r="F6" s="1"/>
      <c r="G6" s="1"/>
      <c r="H6" s="4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9" customFormat="1" ht="35.1" customHeight="1" thickBot="1" x14ac:dyDescent="0.3">
      <c r="A7" s="8"/>
      <c r="B7" s="46" t="s">
        <v>1</v>
      </c>
      <c r="C7" s="46" t="s">
        <v>3</v>
      </c>
      <c r="D7" s="46" t="s">
        <v>4</v>
      </c>
      <c r="E7" s="46" t="s">
        <v>5</v>
      </c>
      <c r="F7" s="49" t="s">
        <v>6</v>
      </c>
      <c r="G7" s="50" t="s">
        <v>7</v>
      </c>
      <c r="H7" s="46" t="s">
        <v>22</v>
      </c>
      <c r="I7" s="46" t="s">
        <v>8</v>
      </c>
      <c r="J7" s="8"/>
      <c r="K7" s="70" t="s">
        <v>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</row>
    <row r="8" spans="1:258" s="7" customFormat="1" ht="24.95" customHeight="1" x14ac:dyDescent="0.25">
      <c r="A8" s="6"/>
      <c r="B8" s="45">
        <v>1</v>
      </c>
      <c r="C8" s="71" t="s">
        <v>20</v>
      </c>
      <c r="D8" s="47"/>
      <c r="E8" s="47"/>
      <c r="F8" s="48">
        <v>46060</v>
      </c>
      <c r="G8" s="51">
        <v>46081</v>
      </c>
      <c r="H8" s="52">
        <f>SUM(H9:H11)</f>
        <v>14</v>
      </c>
      <c r="I8" s="53"/>
      <c r="J8" s="6"/>
      <c r="K8" s="69" t="s">
        <v>16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</row>
    <row r="9" spans="1:258" s="7" customFormat="1" ht="24.95" customHeight="1" outlineLevel="1" x14ac:dyDescent="0.25">
      <c r="A9" s="6"/>
      <c r="B9" s="2">
        <v>1.1000000000000001</v>
      </c>
      <c r="C9" s="12" t="s">
        <v>21</v>
      </c>
      <c r="D9" s="3" t="s">
        <v>14</v>
      </c>
      <c r="E9" s="4" t="s">
        <v>32</v>
      </c>
      <c r="F9" s="54">
        <v>45695</v>
      </c>
      <c r="G9" s="54">
        <v>45695</v>
      </c>
      <c r="H9" s="58">
        <v>3</v>
      </c>
      <c r="I9" s="2"/>
      <c r="J9" s="6"/>
      <c r="K9" s="68" t="s">
        <v>15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</row>
    <row r="10" spans="1:258" s="7" customFormat="1" ht="24.95" customHeight="1" outlineLevel="1" x14ac:dyDescent="0.25">
      <c r="A10" s="6"/>
      <c r="B10" s="2" t="s">
        <v>24</v>
      </c>
      <c r="C10" s="13" t="s">
        <v>23</v>
      </c>
      <c r="D10" s="3" t="s">
        <v>14</v>
      </c>
      <c r="E10" s="4" t="s">
        <v>32</v>
      </c>
      <c r="F10" s="54">
        <v>46067</v>
      </c>
      <c r="G10" s="54">
        <v>46067</v>
      </c>
      <c r="H10" s="58">
        <v>3</v>
      </c>
      <c r="I10" s="2"/>
      <c r="J10" s="6"/>
      <c r="K10" s="72" t="s">
        <v>14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</row>
    <row r="11" spans="1:258" s="7" customFormat="1" ht="24.95" customHeight="1" outlineLevel="1" x14ac:dyDescent="0.25">
      <c r="A11" s="6"/>
      <c r="B11" s="2">
        <v>1.3</v>
      </c>
      <c r="C11" s="12" t="s">
        <v>25</v>
      </c>
      <c r="D11" s="3" t="s">
        <v>16</v>
      </c>
      <c r="E11" s="20" t="s">
        <v>32</v>
      </c>
      <c r="F11" s="54">
        <v>46074</v>
      </c>
      <c r="G11" s="54">
        <v>46076</v>
      </c>
      <c r="H11" s="58">
        <v>8</v>
      </c>
      <c r="I11" s="2"/>
      <c r="J11" s="6"/>
      <c r="K11" s="73" t="s">
        <v>17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</row>
    <row r="12" spans="1:258" s="7" customFormat="1" ht="24.95" customHeight="1" x14ac:dyDescent="0.25">
      <c r="A12" s="6"/>
      <c r="B12" s="24">
        <v>2</v>
      </c>
      <c r="C12" s="24" t="s">
        <v>51</v>
      </c>
      <c r="D12" s="27"/>
      <c r="E12" s="28"/>
      <c r="F12" s="29">
        <v>46076</v>
      </c>
      <c r="G12" s="30">
        <v>46116</v>
      </c>
      <c r="H12" s="31">
        <f>SUM(H13:H22)</f>
        <v>200</v>
      </c>
      <c r="I12" s="21"/>
      <c r="J12" s="6"/>
      <c r="K12" s="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</row>
    <row r="13" spans="1:258" s="7" customFormat="1" ht="24.95" customHeight="1" outlineLevel="1" x14ac:dyDescent="0.25">
      <c r="A13" s="6"/>
      <c r="B13" s="2">
        <v>2.1</v>
      </c>
      <c r="C13" s="12" t="s">
        <v>26</v>
      </c>
      <c r="D13" s="3" t="s">
        <v>16</v>
      </c>
      <c r="E13" s="11" t="s">
        <v>33</v>
      </c>
      <c r="F13" s="54">
        <v>45711</v>
      </c>
      <c r="G13" s="55">
        <v>46077</v>
      </c>
      <c r="H13" s="59">
        <v>12</v>
      </c>
      <c r="I13" s="2"/>
      <c r="J13" s="6"/>
      <c r="K13" s="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</row>
    <row r="14" spans="1:258" s="7" customFormat="1" ht="24.95" customHeight="1" outlineLevel="1" x14ac:dyDescent="0.25">
      <c r="A14" s="6"/>
      <c r="B14" s="2">
        <v>2.2000000000000002</v>
      </c>
      <c r="C14" s="12" t="s">
        <v>27</v>
      </c>
      <c r="D14" s="3" t="s">
        <v>16</v>
      </c>
      <c r="E14" s="2" t="s">
        <v>34</v>
      </c>
      <c r="F14" s="54">
        <v>46078</v>
      </c>
      <c r="G14" s="55">
        <v>45716</v>
      </c>
      <c r="H14" s="59">
        <v>18</v>
      </c>
      <c r="I14" s="2"/>
      <c r="J14" s="6"/>
      <c r="K14" s="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</row>
    <row r="15" spans="1:258" s="7" customFormat="1" ht="24.95" customHeight="1" outlineLevel="1" x14ac:dyDescent="0.25">
      <c r="A15" s="6"/>
      <c r="B15" s="2">
        <v>2.2999999999999998</v>
      </c>
      <c r="C15" s="12" t="s">
        <v>28</v>
      </c>
      <c r="D15" s="3" t="s">
        <v>16</v>
      </c>
      <c r="E15" s="2" t="s">
        <v>35</v>
      </c>
      <c r="F15" s="54">
        <v>46082</v>
      </c>
      <c r="G15" s="55">
        <v>46084</v>
      </c>
      <c r="H15" s="59">
        <v>18</v>
      </c>
      <c r="I15" s="2"/>
      <c r="J15" s="6"/>
      <c r="K15" s="1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</row>
    <row r="16" spans="1:258" s="7" customFormat="1" ht="24.95" customHeight="1" outlineLevel="1" thickBot="1" x14ac:dyDescent="0.3">
      <c r="A16" s="6"/>
      <c r="B16" s="15">
        <v>2.4</v>
      </c>
      <c r="C16" s="14" t="s">
        <v>29</v>
      </c>
      <c r="D16" s="3" t="s">
        <v>16</v>
      </c>
      <c r="E16" s="15" t="s">
        <v>34</v>
      </c>
      <c r="F16" s="56">
        <v>46085</v>
      </c>
      <c r="G16" s="57">
        <v>46090</v>
      </c>
      <c r="H16" s="60">
        <v>30</v>
      </c>
      <c r="I16" s="15"/>
      <c r="J16" s="6"/>
      <c r="K16" s="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</row>
    <row r="17" spans="1:258" s="7" customFormat="1" ht="24.95" customHeight="1" outlineLevel="1" thickBot="1" x14ac:dyDescent="0.3">
      <c r="A17" s="6"/>
      <c r="B17" s="15">
        <v>2.5</v>
      </c>
      <c r="C17" s="14" t="s">
        <v>30</v>
      </c>
      <c r="D17" s="3" t="s">
        <v>16</v>
      </c>
      <c r="E17" s="15" t="s">
        <v>36</v>
      </c>
      <c r="F17" s="56">
        <v>46091</v>
      </c>
      <c r="G17" s="57">
        <v>46096</v>
      </c>
      <c r="H17" s="60">
        <v>30</v>
      </c>
      <c r="I17" s="15"/>
      <c r="J17" s="6"/>
      <c r="K17" s="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</row>
    <row r="18" spans="1:258" s="7" customFormat="1" ht="24.95" customHeight="1" outlineLevel="1" thickBot="1" x14ac:dyDescent="0.3">
      <c r="A18" s="6"/>
      <c r="B18" s="15">
        <v>2.6</v>
      </c>
      <c r="C18" s="12" t="s">
        <v>31</v>
      </c>
      <c r="D18" s="3" t="s">
        <v>14</v>
      </c>
      <c r="E18" s="10" t="s">
        <v>34</v>
      </c>
      <c r="F18" s="54">
        <v>46097</v>
      </c>
      <c r="G18" s="54">
        <v>46097</v>
      </c>
      <c r="H18" s="59">
        <v>2</v>
      </c>
      <c r="I18" s="2"/>
      <c r="J18" s="6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</row>
    <row r="19" spans="1:258" s="7" customFormat="1" ht="24.95" customHeight="1" outlineLevel="1" thickBot="1" x14ac:dyDescent="0.3">
      <c r="A19" s="6"/>
      <c r="B19" s="15">
        <v>2.7</v>
      </c>
      <c r="C19" s="12" t="s">
        <v>37</v>
      </c>
      <c r="D19" s="3" t="s">
        <v>16</v>
      </c>
      <c r="E19" s="10" t="s">
        <v>34</v>
      </c>
      <c r="F19" s="54">
        <v>46098</v>
      </c>
      <c r="G19" s="55">
        <v>46103</v>
      </c>
      <c r="H19" s="59">
        <v>30</v>
      </c>
      <c r="I19" s="2"/>
      <c r="J19" s="6"/>
      <c r="K19" s="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</row>
    <row r="20" spans="1:258" s="7" customFormat="1" ht="24.95" customHeight="1" outlineLevel="1" thickBot="1" x14ac:dyDescent="0.3">
      <c r="A20" s="6"/>
      <c r="B20" s="15">
        <v>2.8</v>
      </c>
      <c r="C20" s="13" t="s">
        <v>38</v>
      </c>
      <c r="D20" s="3" t="s">
        <v>16</v>
      </c>
      <c r="E20" s="10" t="s">
        <v>34</v>
      </c>
      <c r="F20" s="54">
        <v>46104</v>
      </c>
      <c r="G20" s="55">
        <v>46107</v>
      </c>
      <c r="H20" s="59">
        <v>18</v>
      </c>
      <c r="I20" s="2"/>
      <c r="J20" s="6"/>
      <c r="K20" s="1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</row>
    <row r="21" spans="1:258" s="7" customFormat="1" ht="24.95" customHeight="1" outlineLevel="1" thickBot="1" x14ac:dyDescent="0.3">
      <c r="A21" s="6"/>
      <c r="B21" s="15">
        <v>2.9</v>
      </c>
      <c r="C21" s="13" t="s">
        <v>39</v>
      </c>
      <c r="D21" s="3" t="s">
        <v>16</v>
      </c>
      <c r="E21" s="10" t="s">
        <v>34</v>
      </c>
      <c r="F21" s="54">
        <v>46108</v>
      </c>
      <c r="G21" s="55">
        <v>46113</v>
      </c>
      <c r="H21" s="59">
        <v>30</v>
      </c>
      <c r="I21" s="2"/>
      <c r="J21" s="6"/>
      <c r="K21" s="1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</row>
    <row r="22" spans="1:258" s="7" customFormat="1" ht="24.95" customHeight="1" outlineLevel="1" thickBot="1" x14ac:dyDescent="0.3">
      <c r="A22" s="6"/>
      <c r="B22" s="15">
        <v>2.1</v>
      </c>
      <c r="C22" s="12" t="s">
        <v>40</v>
      </c>
      <c r="D22" s="3" t="s">
        <v>16</v>
      </c>
      <c r="E22" s="10" t="s">
        <v>34</v>
      </c>
      <c r="F22" s="54">
        <v>46114</v>
      </c>
      <c r="G22" s="55">
        <v>46116</v>
      </c>
      <c r="H22" s="59">
        <v>12</v>
      </c>
      <c r="I22" s="2"/>
      <c r="J22" s="6"/>
      <c r="K22" s="1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</row>
    <row r="23" spans="1:258" s="7" customFormat="1" ht="31.5" customHeight="1" x14ac:dyDescent="0.25">
      <c r="A23" s="6"/>
      <c r="B23" s="25">
        <v>3</v>
      </c>
      <c r="C23" s="25" t="s">
        <v>52</v>
      </c>
      <c r="D23" s="32"/>
      <c r="E23" s="33"/>
      <c r="F23" s="34">
        <v>46117</v>
      </c>
      <c r="G23" s="35">
        <v>46165</v>
      </c>
      <c r="H23" s="36">
        <f>SUM(H24:H33)</f>
        <v>264</v>
      </c>
      <c r="I23" s="22"/>
      <c r="J23" s="6"/>
      <c r="K23" s="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</row>
    <row r="24" spans="1:258" ht="17.25" thickBot="1" x14ac:dyDescent="0.3">
      <c r="B24" s="15" t="s">
        <v>0</v>
      </c>
      <c r="C24" s="16" t="s">
        <v>41</v>
      </c>
      <c r="D24" s="3" t="s">
        <v>16</v>
      </c>
      <c r="E24" s="10" t="s">
        <v>34</v>
      </c>
      <c r="F24" s="56">
        <v>46117</v>
      </c>
      <c r="G24" s="57">
        <v>46121</v>
      </c>
      <c r="H24" s="61">
        <v>24</v>
      </c>
      <c r="I24" s="15"/>
    </row>
    <row r="25" spans="1:258" ht="17.25" thickBot="1" x14ac:dyDescent="0.3">
      <c r="B25" s="15" t="s">
        <v>0</v>
      </c>
      <c r="C25" s="16" t="s">
        <v>42</v>
      </c>
      <c r="D25" s="3" t="s">
        <v>16</v>
      </c>
      <c r="E25" s="10" t="s">
        <v>34</v>
      </c>
      <c r="F25" s="56">
        <v>46121</v>
      </c>
      <c r="G25" s="57">
        <v>46125</v>
      </c>
      <c r="H25" s="61">
        <v>24</v>
      </c>
      <c r="I25" s="15"/>
    </row>
    <row r="26" spans="1:258" ht="17.25" thickBot="1" x14ac:dyDescent="0.3">
      <c r="B26" s="15" t="s">
        <v>0</v>
      </c>
      <c r="C26" s="16" t="s">
        <v>43</v>
      </c>
      <c r="D26" s="3" t="s">
        <v>16</v>
      </c>
      <c r="E26" s="10" t="s">
        <v>34</v>
      </c>
      <c r="F26" s="56">
        <v>46125</v>
      </c>
      <c r="G26" s="57">
        <v>46129</v>
      </c>
      <c r="H26" s="61">
        <v>24</v>
      </c>
      <c r="I26" s="15"/>
    </row>
    <row r="27" spans="1:258" ht="17.25" thickBot="1" x14ac:dyDescent="0.3">
      <c r="B27" s="15" t="s">
        <v>0</v>
      </c>
      <c r="C27" s="16" t="s">
        <v>44</v>
      </c>
      <c r="D27" s="3" t="s">
        <v>16</v>
      </c>
      <c r="E27" s="10" t="s">
        <v>34</v>
      </c>
      <c r="F27" s="56">
        <v>46129</v>
      </c>
      <c r="G27" s="57">
        <v>46133</v>
      </c>
      <c r="H27" s="61">
        <v>24</v>
      </c>
      <c r="I27" s="15"/>
    </row>
    <row r="28" spans="1:258" ht="17.25" thickBot="1" x14ac:dyDescent="0.3">
      <c r="B28" s="15" t="s">
        <v>0</v>
      </c>
      <c r="C28" s="16" t="s">
        <v>45</v>
      </c>
      <c r="D28" s="3" t="s">
        <v>16</v>
      </c>
      <c r="E28" s="10" t="s">
        <v>34</v>
      </c>
      <c r="F28" s="56">
        <v>46133</v>
      </c>
      <c r="G28" s="57">
        <v>46137</v>
      </c>
      <c r="H28" s="61">
        <v>30</v>
      </c>
      <c r="I28" s="15"/>
    </row>
    <row r="29" spans="1:258" ht="17.25" thickBot="1" x14ac:dyDescent="0.3">
      <c r="B29" s="15" t="s">
        <v>0</v>
      </c>
      <c r="C29" s="16" t="s">
        <v>46</v>
      </c>
      <c r="D29" s="3" t="s">
        <v>16</v>
      </c>
      <c r="E29" s="10" t="s">
        <v>34</v>
      </c>
      <c r="F29" s="56">
        <v>46137</v>
      </c>
      <c r="G29" s="57">
        <v>46141</v>
      </c>
      <c r="H29" s="61">
        <v>18</v>
      </c>
      <c r="I29" s="15"/>
    </row>
    <row r="30" spans="1:258" s="7" customFormat="1" ht="24.95" customHeight="1" outlineLevel="1" thickBot="1" x14ac:dyDescent="0.3">
      <c r="A30" s="6"/>
      <c r="B30" s="15" t="s">
        <v>0</v>
      </c>
      <c r="C30" s="16" t="s">
        <v>47</v>
      </c>
      <c r="D30" s="3" t="s">
        <v>16</v>
      </c>
      <c r="E30" s="10" t="s">
        <v>34</v>
      </c>
      <c r="F30" s="56">
        <v>46141</v>
      </c>
      <c r="G30" s="57">
        <v>46145</v>
      </c>
      <c r="H30" s="61">
        <v>30</v>
      </c>
      <c r="I30" s="15"/>
      <c r="J30" s="6"/>
      <c r="K30" s="1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</row>
    <row r="31" spans="1:258" s="7" customFormat="1" ht="24.95" customHeight="1" outlineLevel="1" thickBot="1" x14ac:dyDescent="0.3">
      <c r="A31" s="6"/>
      <c r="B31" s="15" t="s">
        <v>0</v>
      </c>
      <c r="C31" s="16" t="s">
        <v>48</v>
      </c>
      <c r="D31" s="3" t="s">
        <v>16</v>
      </c>
      <c r="E31" s="10" t="s">
        <v>34</v>
      </c>
      <c r="F31" s="56">
        <v>46145</v>
      </c>
      <c r="G31" s="57">
        <v>46149</v>
      </c>
      <c r="H31" s="61">
        <v>30</v>
      </c>
      <c r="I31" s="15"/>
      <c r="J31" s="6"/>
      <c r="K31" s="1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</row>
    <row r="32" spans="1:258" s="7" customFormat="1" ht="24.95" customHeight="1" outlineLevel="1" thickBot="1" x14ac:dyDescent="0.3">
      <c r="A32" s="6"/>
      <c r="B32" s="15" t="s">
        <v>0</v>
      </c>
      <c r="C32" s="16" t="s">
        <v>49</v>
      </c>
      <c r="D32" s="3" t="s">
        <v>16</v>
      </c>
      <c r="E32" s="10" t="s">
        <v>34</v>
      </c>
      <c r="F32" s="56">
        <v>46149</v>
      </c>
      <c r="G32" s="57">
        <v>46153</v>
      </c>
      <c r="H32" s="61">
        <v>30</v>
      </c>
      <c r="I32" s="15"/>
      <c r="J32" s="6"/>
      <c r="K32" s="1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</row>
    <row r="33" spans="1:258" s="7" customFormat="1" ht="24.95" customHeight="1" outlineLevel="1" thickBot="1" x14ac:dyDescent="0.3">
      <c r="A33" s="6"/>
      <c r="B33" s="15" t="s">
        <v>0</v>
      </c>
      <c r="C33" s="16" t="s">
        <v>50</v>
      </c>
      <c r="D33" s="3" t="s">
        <v>16</v>
      </c>
      <c r="E33" s="10" t="s">
        <v>34</v>
      </c>
      <c r="F33" s="56">
        <v>46153</v>
      </c>
      <c r="G33" s="57">
        <v>46157</v>
      </c>
      <c r="H33" s="61">
        <v>30</v>
      </c>
      <c r="I33" s="15"/>
      <c r="J33" s="6"/>
      <c r="K33" s="1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</row>
    <row r="34" spans="1:258" s="7" customFormat="1" ht="24.95" customHeight="1" x14ac:dyDescent="0.25">
      <c r="A34" s="6"/>
      <c r="B34" s="26">
        <v>4</v>
      </c>
      <c r="C34" s="26" t="s">
        <v>53</v>
      </c>
      <c r="D34" s="37"/>
      <c r="E34" s="38"/>
      <c r="F34" s="39">
        <v>46166</v>
      </c>
      <c r="G34" s="40">
        <v>45742</v>
      </c>
      <c r="H34" s="41">
        <f>SUM(H35:H41)</f>
        <v>132</v>
      </c>
      <c r="I34" s="23"/>
      <c r="J34" s="6"/>
      <c r="K34" s="1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</row>
    <row r="35" spans="1:258" s="7" customFormat="1" ht="24.95" customHeight="1" outlineLevel="1" x14ac:dyDescent="0.25">
      <c r="A35" s="6"/>
      <c r="B35" s="2">
        <v>4.0999999999999996</v>
      </c>
      <c r="C35" s="12" t="s">
        <v>54</v>
      </c>
      <c r="D35" s="3" t="s">
        <v>16</v>
      </c>
      <c r="E35" s="11" t="s">
        <v>34</v>
      </c>
      <c r="F35" s="54">
        <v>45801</v>
      </c>
      <c r="G35" s="54">
        <v>46168</v>
      </c>
      <c r="H35" s="62">
        <v>12</v>
      </c>
      <c r="I35" s="2"/>
      <c r="J35" s="6"/>
      <c r="K35" s="1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</row>
    <row r="36" spans="1:258" s="7" customFormat="1" ht="24.95" customHeight="1" outlineLevel="1" x14ac:dyDescent="0.25">
      <c r="A36" s="6"/>
      <c r="B36" s="2">
        <v>4.2</v>
      </c>
      <c r="C36" s="12" t="s">
        <v>55</v>
      </c>
      <c r="D36" s="3" t="s">
        <v>16</v>
      </c>
      <c r="E36" s="11" t="s">
        <v>34</v>
      </c>
      <c r="F36" s="54">
        <v>46169</v>
      </c>
      <c r="G36" s="55">
        <v>45806</v>
      </c>
      <c r="H36" s="62">
        <v>12</v>
      </c>
      <c r="I36" s="2"/>
      <c r="J36" s="6"/>
      <c r="K36" s="1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</row>
    <row r="37" spans="1:258" s="7" customFormat="1" ht="24.95" customHeight="1" outlineLevel="1" x14ac:dyDescent="0.25">
      <c r="A37" s="6"/>
      <c r="B37" s="2">
        <v>4.3</v>
      </c>
      <c r="C37" s="12" t="s">
        <v>56</v>
      </c>
      <c r="D37" s="3" t="s">
        <v>16</v>
      </c>
      <c r="E37" s="11" t="s">
        <v>34</v>
      </c>
      <c r="F37" s="54">
        <v>46172</v>
      </c>
      <c r="G37" s="55">
        <v>46175</v>
      </c>
      <c r="H37" s="62">
        <v>12</v>
      </c>
      <c r="I37" s="2"/>
      <c r="J37" s="6"/>
      <c r="K37" s="1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</row>
    <row r="38" spans="1:258" s="7" customFormat="1" ht="24.95" customHeight="1" outlineLevel="1" thickBot="1" x14ac:dyDescent="0.3">
      <c r="A38" s="6"/>
      <c r="B38" s="15">
        <v>4.4000000000000004</v>
      </c>
      <c r="C38" s="14" t="s">
        <v>57</v>
      </c>
      <c r="D38" s="3" t="s">
        <v>16</v>
      </c>
      <c r="E38" s="17" t="s">
        <v>61</v>
      </c>
      <c r="F38" s="56">
        <v>46176</v>
      </c>
      <c r="G38" s="57">
        <v>46176</v>
      </c>
      <c r="H38" s="63">
        <v>6</v>
      </c>
      <c r="I38" s="15"/>
      <c r="J38" s="6"/>
      <c r="K38" s="1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</row>
    <row r="39" spans="1:258" s="7" customFormat="1" ht="24.95" customHeight="1" outlineLevel="1" thickBot="1" x14ac:dyDescent="0.3">
      <c r="A39" s="6"/>
      <c r="B39" s="2">
        <v>4.5</v>
      </c>
      <c r="C39" s="75" t="s">
        <v>58</v>
      </c>
      <c r="D39" s="3" t="s">
        <v>16</v>
      </c>
      <c r="E39" s="76" t="s">
        <v>62</v>
      </c>
      <c r="F39" s="56">
        <v>46177</v>
      </c>
      <c r="G39" s="57">
        <v>46179</v>
      </c>
      <c r="H39" s="78">
        <v>12</v>
      </c>
      <c r="I39" s="74"/>
      <c r="J39" s="6"/>
      <c r="K39" s="1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</row>
    <row r="40" spans="1:258" s="7" customFormat="1" ht="24.95" customHeight="1" outlineLevel="1" thickBot="1" x14ac:dyDescent="0.3">
      <c r="A40" s="6"/>
      <c r="B40" s="2">
        <v>4.5999999999999996</v>
      </c>
      <c r="C40" s="75" t="s">
        <v>59</v>
      </c>
      <c r="D40" s="3" t="s">
        <v>16</v>
      </c>
      <c r="E40" s="76" t="s">
        <v>62</v>
      </c>
      <c r="F40" s="56">
        <v>46180</v>
      </c>
      <c r="G40" s="57">
        <v>46192</v>
      </c>
      <c r="H40" s="78">
        <v>72</v>
      </c>
      <c r="I40" s="74"/>
      <c r="J40" s="6"/>
      <c r="K40" s="1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</row>
    <row r="41" spans="1:258" s="7" customFormat="1" ht="24.95" customHeight="1" outlineLevel="1" thickBot="1" x14ac:dyDescent="0.3">
      <c r="A41" s="6"/>
      <c r="B41" s="2">
        <v>4.7</v>
      </c>
      <c r="C41" s="75" t="s">
        <v>60</v>
      </c>
      <c r="D41" s="3" t="s">
        <v>16</v>
      </c>
      <c r="E41" s="76" t="s">
        <v>34</v>
      </c>
      <c r="F41" s="56">
        <v>46193</v>
      </c>
      <c r="G41" s="57">
        <v>46193</v>
      </c>
      <c r="H41" s="78">
        <v>6</v>
      </c>
      <c r="I41" s="74"/>
      <c r="J41" s="6"/>
      <c r="K41" s="1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</row>
    <row r="42" spans="1:258" s="7" customFormat="1" ht="24.95" customHeight="1" outlineLevel="1" x14ac:dyDescent="0.25">
      <c r="A42" s="6"/>
      <c r="B42" s="74"/>
      <c r="C42" s="75"/>
      <c r="D42" s="3"/>
      <c r="E42" s="76"/>
      <c r="F42" s="77"/>
      <c r="G42" s="65"/>
      <c r="H42" s="78"/>
      <c r="I42" s="74"/>
      <c r="J42" s="6"/>
      <c r="K42" s="1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</row>
    <row r="43" spans="1:258" s="7" customFormat="1" ht="24.95" customHeight="1" outlineLevel="1" x14ac:dyDescent="0.25">
      <c r="A43" s="6"/>
      <c r="B43" s="74"/>
      <c r="C43" s="75"/>
      <c r="D43" s="3"/>
      <c r="E43" s="76"/>
      <c r="F43" s="77"/>
      <c r="G43" s="65"/>
      <c r="H43" s="78"/>
      <c r="I43" s="74"/>
      <c r="J43" s="6"/>
      <c r="K43" s="1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</row>
    <row r="44" spans="1:258" s="7" customFormat="1" ht="24.95" customHeight="1" outlineLevel="1" x14ac:dyDescent="0.25">
      <c r="A44" s="6"/>
      <c r="B44" s="74"/>
      <c r="C44" s="75"/>
      <c r="D44" s="3"/>
      <c r="E44" s="76"/>
      <c r="F44" s="77"/>
      <c r="G44" s="65"/>
      <c r="H44" s="78"/>
      <c r="I44" s="74"/>
      <c r="J44" s="6"/>
      <c r="K44" s="1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</row>
    <row r="45" spans="1:258" s="7" customFormat="1" ht="24.95" customHeight="1" outlineLevel="1" x14ac:dyDescent="0.25">
      <c r="A45" s="6"/>
      <c r="B45" s="74"/>
      <c r="C45" s="75"/>
      <c r="D45" s="3"/>
      <c r="E45" s="76"/>
      <c r="F45" s="77"/>
      <c r="G45" s="65"/>
      <c r="H45" s="78"/>
      <c r="I45" s="74"/>
      <c r="J45" s="6"/>
      <c r="K45" s="1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</row>
    <row r="46" spans="1:258" s="7" customFormat="1" ht="24.95" customHeight="1" outlineLevel="1" x14ac:dyDescent="0.25">
      <c r="A46" s="6"/>
      <c r="B46" s="74"/>
      <c r="C46" s="75"/>
      <c r="D46" s="3"/>
      <c r="E46" s="76"/>
      <c r="F46" s="77"/>
      <c r="G46" s="65"/>
      <c r="H46" s="78"/>
      <c r="I46" s="74"/>
      <c r="J46" s="6"/>
      <c r="K46" s="1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</row>
    <row r="47" spans="1:258" s="7" customFormat="1" ht="24.95" customHeight="1" outlineLevel="1" x14ac:dyDescent="0.25">
      <c r="A47" s="6"/>
      <c r="B47" s="74"/>
      <c r="C47" s="75"/>
      <c r="D47" s="3"/>
      <c r="E47" s="76"/>
      <c r="F47" s="77"/>
      <c r="G47" s="65"/>
      <c r="H47" s="78"/>
      <c r="I47" s="74"/>
      <c r="J47" s="6"/>
      <c r="K47" s="1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</row>
    <row r="48" spans="1:258" ht="13.5" x14ac:dyDescent="0.25"/>
    <row r="49" spans="1:258" s="7" customFormat="1" ht="24.95" customHeight="1" outlineLevel="1" x14ac:dyDescent="0.25">
      <c r="A49" s="6"/>
      <c r="J49" s="6"/>
      <c r="K49" s="1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</row>
    <row r="50" spans="1:258" ht="13.5" x14ac:dyDescent="0.25"/>
    <row r="51" spans="1:258" ht="13.5" x14ac:dyDescent="0.25"/>
    <row r="52" spans="1:258" ht="13.5" x14ac:dyDescent="0.25"/>
    <row r="53" spans="1:258" ht="13.5" x14ac:dyDescent="0.25"/>
    <row r="54" spans="1:258" ht="13.5" x14ac:dyDescent="0.25"/>
    <row r="55" spans="1:258" ht="24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36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58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58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58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58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58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</row>
    <row r="390" spans="1:258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</row>
    <row r="391" spans="1:258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</row>
    <row r="392" spans="1:258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</row>
    <row r="393" spans="1:258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</row>
    <row r="394" spans="1:258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</row>
    <row r="395" spans="1:258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</row>
    <row r="396" spans="1:258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</row>
    <row r="397" spans="1:258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</row>
    <row r="398" spans="1:258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</row>
    <row r="399" spans="1:258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</row>
    <row r="400" spans="1:258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</row>
    <row r="401" spans="1:282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</row>
    <row r="402" spans="1:282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</row>
    <row r="403" spans="1:282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</row>
    <row r="404" spans="1:282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</row>
    <row r="405" spans="1:282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</row>
    <row r="406" spans="1:282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</row>
    <row r="407" spans="1:282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</row>
    <row r="408" spans="1:282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</row>
    <row r="409" spans="1:282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</row>
    <row r="410" spans="1:282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</row>
    <row r="411" spans="1:282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  <row r="1079" spans="1:282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</row>
    <row r="1080" spans="1:282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</row>
    <row r="1081" spans="1:282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</row>
    <row r="1082" spans="1:282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</row>
    <row r="1083" spans="1:282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</row>
    <row r="1084" spans="1:282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</row>
    <row r="1085" spans="1:282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</row>
    <row r="1086" spans="1:282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</row>
    <row r="1087" spans="1:282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</row>
    <row r="1088" spans="1:282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</row>
    <row r="1089" spans="1:282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</row>
    <row r="1090" spans="1:282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</row>
    <row r="1091" spans="1:282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</row>
    <row r="1092" spans="1:282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</row>
    <row r="1093" spans="1:282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</row>
    <row r="1094" spans="1:282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</row>
    <row r="1095" spans="1:282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</row>
    <row r="1096" spans="1:282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</row>
    <row r="1097" spans="1:282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</row>
    <row r="1098" spans="1:282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</row>
    <row r="1099" spans="1:282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  <c r="JT1099" s="1"/>
      <c r="JU1099" s="1"/>
      <c r="JV1099" s="1"/>
    </row>
    <row r="1100" spans="1:282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  <c r="JT1100" s="1"/>
      <c r="JU1100" s="1"/>
      <c r="JV1100" s="1"/>
    </row>
  </sheetData>
  <phoneticPr fontId="3" type="noConversion"/>
  <conditionalFormatting sqref="D8:D24 D34:D47">
    <cfRule type="containsText" dxfId="27" priority="49" operator="containsText" text="On Hold">
      <formula>NOT(ISERROR(SEARCH("On Hold",D8)))</formula>
    </cfRule>
    <cfRule type="containsText" dxfId="26" priority="50" operator="containsText" text="Complete">
      <formula>NOT(ISERROR(SEARCH("Complete",D8)))</formula>
    </cfRule>
    <cfRule type="containsText" dxfId="25" priority="51" operator="containsText" text="In Progress">
      <formula>NOT(ISERROR(SEARCH("In Progress",D8)))</formula>
    </cfRule>
    <cfRule type="containsText" dxfId="24" priority="52" operator="containsText" text="Not Started">
      <formula>NOT(ISERROR(SEARCH("Not Started",D8)))</formula>
    </cfRule>
  </conditionalFormatting>
  <conditionalFormatting sqref="D13:D22 D9:D11 D35:D47">
    <cfRule type="cellIs" dxfId="23" priority="45" operator="equal">
      <formula>"En Espera"</formula>
    </cfRule>
    <cfRule type="cellIs" dxfId="22" priority="46" operator="equal">
      <formula>"En Progreso"</formula>
    </cfRule>
    <cfRule type="cellIs" dxfId="21" priority="47" operator="equal">
      <formula>"No Iniciado"</formula>
    </cfRule>
    <cfRule type="cellIs" dxfId="20" priority="48" operator="equal">
      <formula>"Completo"</formula>
    </cfRule>
  </conditionalFormatting>
  <conditionalFormatting sqref="D17">
    <cfRule type="cellIs" dxfId="19" priority="25" operator="equal">
      <formula>"En Espera"</formula>
    </cfRule>
    <cfRule type="cellIs" dxfId="18" priority="26" operator="equal">
      <formula>"En Progreso"</formula>
    </cfRule>
    <cfRule type="cellIs" dxfId="17" priority="27" operator="equal">
      <formula>"No Iniciado"</formula>
    </cfRule>
    <cfRule type="cellIs" dxfId="16" priority="28" operator="equal">
      <formula>"Completo"</formula>
    </cfRule>
    <cfRule type="containsText" dxfId="15" priority="29" operator="containsText" text="On Hold">
      <formula>NOT(ISERROR(SEARCH("On Hold",D17)))</formula>
    </cfRule>
    <cfRule type="containsText" dxfId="14" priority="30" operator="containsText" text="Complete">
      <formula>NOT(ISERROR(SEARCH("Complete",D17)))</formula>
    </cfRule>
    <cfRule type="containsText" dxfId="13" priority="31" operator="containsText" text="In Progress">
      <formula>NOT(ISERROR(SEARCH("In Progress",D17)))</formula>
    </cfRule>
    <cfRule type="containsText" dxfId="12" priority="32" operator="containsText" text="Not Started">
      <formula>NOT(ISERROR(SEARCH("Not Started",D17)))</formula>
    </cfRule>
  </conditionalFormatting>
  <conditionalFormatting sqref="D24:D33">
    <cfRule type="cellIs" dxfId="11" priority="1" operator="equal">
      <formula>"En Espera"</formula>
    </cfRule>
    <cfRule type="cellIs" dxfId="10" priority="2" operator="equal">
      <formula>"En Progreso"</formula>
    </cfRule>
    <cfRule type="cellIs" dxfId="9" priority="3" operator="equal">
      <formula>"No Iniciado"</formula>
    </cfRule>
    <cfRule type="cellIs" dxfId="8" priority="4" operator="equal">
      <formula>"Completo"</formula>
    </cfRule>
  </conditionalFormatting>
  <conditionalFormatting sqref="D25:D33">
    <cfRule type="containsText" dxfId="7" priority="5" operator="containsText" text="On Hold">
      <formula>NOT(ISERROR(SEARCH("On Hold",D25)))</formula>
    </cfRule>
    <cfRule type="containsText" dxfId="6" priority="6" operator="containsText" text="Complete">
      <formula>NOT(ISERROR(SEARCH("Complete",D25)))</formula>
    </cfRule>
    <cfRule type="containsText" dxfId="5" priority="7" operator="containsText" text="In Progress">
      <formula>NOT(ISERROR(SEARCH("In Progress",D25)))</formula>
    </cfRule>
    <cfRule type="containsText" dxfId="4" priority="8" operator="containsText" text="Not Started">
      <formula>NOT(ISERROR(SEARCH("Not Started",D25)))</formula>
    </cfRule>
  </conditionalFormatting>
  <conditionalFormatting sqref="K8:K11">
    <cfRule type="containsText" dxfId="3" priority="61" stopIfTrue="1" operator="containsText" text="On Hold">
      <formula>NOT(ISERROR(SEARCH("On Hold",K8)))</formula>
    </cfRule>
    <cfRule type="containsText" dxfId="2" priority="62" operator="containsText" text="Complete">
      <formula>NOT(ISERROR(SEARCH("Complete",K8)))</formula>
    </cfRule>
    <cfRule type="containsText" dxfId="1" priority="63" operator="containsText" text="In Progress">
      <formula>NOT(ISERROR(SEARCH("In Progress",K8)))</formula>
    </cfRule>
    <cfRule type="containsText" dxfId="0" priority="64" operator="containsText" text="Not Started">
      <formula>NOT(ISERROR(SEARCH("Not Started",K8)))</formula>
    </cfRule>
  </conditionalFormatting>
  <dataValidations count="1">
    <dataValidation type="list" allowBlank="1" showInputMessage="1" showErrorMessage="1" sqref="D8:D47" xr:uid="{00000000-0002-0000-0000-000000000000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Example - Project Plan Template</vt:lpstr>
      <vt:lpstr>'Example - Project Plan Template'!Área_de_impresión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DANIEL Mora</cp:lastModifiedBy>
  <dcterms:created xsi:type="dcterms:W3CDTF">2015-02-24T20:54:23Z</dcterms:created>
  <dcterms:modified xsi:type="dcterms:W3CDTF">2026-02-24T19:30:58Z</dcterms:modified>
</cp:coreProperties>
</file>